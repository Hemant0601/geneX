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Your numbers" sheetId="2" state="visible" r:id="rId2"/>
    <sheet xmlns:r="http://schemas.openxmlformats.org/officeDocument/2006/relationships"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E8E6F7"/>
      <sz val="11"/>
    </font>
    <font>
      <name val="Arial"/>
      <b val="1"/>
      <color rgb="004338CA"/>
      <sz val="12"/>
    </font>
    <font>
      <name val="Arial"/>
      <color rgb="000B1020"/>
      <sz val="11"/>
    </font>
    <font>
      <name val="Arial"/>
      <b val="1"/>
      <color rgb="00B42318"/>
      <sz val="11"/>
    </font>
    <font>
      <name val="Arial"/>
      <color rgb="005B5F73"/>
      <sz val="10"/>
    </font>
    <font>
      <name val="Arial"/>
      <b val="1"/>
      <color rgb="00FFFFFF"/>
      <sz val="11"/>
    </font>
    <font>
      <name val="Arial"/>
      <b val="1"/>
      <color rgb="000B1020"/>
      <sz val="11"/>
    </font>
    <font>
      <name val="Arial"/>
      <b val="1"/>
      <color rgb="004338CA"/>
      <sz val="13"/>
    </font>
  </fonts>
  <fills count="6">
    <fill>
      <patternFill/>
    </fill>
    <fill>
      <patternFill patternType="gray125"/>
    </fill>
    <fill>
      <patternFill patternType="solid">
        <fgColor rgb="000B1020"/>
        <bgColor rgb="000B1020"/>
      </patternFill>
    </fill>
    <fill>
      <patternFill patternType="solid">
        <fgColor rgb="004338CA"/>
        <bgColor rgb="004338CA"/>
      </patternFill>
    </fill>
    <fill>
      <patternFill patternType="solid">
        <fgColor rgb="00FFF2B3"/>
        <bgColor rgb="00FFF2B3"/>
      </patternFill>
    </fill>
    <fill>
      <patternFill patternType="solid">
        <fgColor rgb="00E8E6F7"/>
        <bgColor rgb="00E8E6F7"/>
      </patternFill>
    </fill>
  </fills>
  <borders count="2">
    <border>
      <left/>
      <right/>
      <top/>
      <bottom/>
      <diagonal/>
    </border>
    <border>
      <left style="thin">
        <color rgb="00D9D6E8"/>
      </left>
      <right style="thin">
        <color rgb="00D9D6E8"/>
      </right>
      <top style="thin">
        <color rgb="00D9D6E8"/>
      </top>
      <bottom style="thin">
        <color rgb="00D9D6E8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5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8" fillId="4" borderId="1" applyAlignment="1" pivotButton="0" quotePrefix="0" xfId="0">
      <alignment horizontal="right" vertical="center"/>
    </xf>
    <xf numFmtId="0" fontId="6" fillId="0" borderId="1" applyAlignment="1" pivotButton="0" quotePrefix="0" xfId="0">
      <alignment vertical="center" wrapText="1"/>
    </xf>
    <xf numFmtId="9" fontId="8" fillId="4" borderId="1" applyAlignment="1" pivotButton="0" quotePrefix="0" xfId="0">
      <alignment horizontal="right" vertical="center"/>
    </xf>
    <xf numFmtId="164" fontId="8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49" fontId="8" fillId="4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0" fontId="6" fillId="5" borderId="0" pivotButton="0" quotePrefix="0" xfId="0"/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338CA"/>
    <outlinePr summaryBelow="1" summaryRight="1"/>
    <pageSetUpPr fitToPage="1"/>
  </sheetPr>
  <dimension ref="A1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40" customHeight="1">
      <c r="A1" s="1" t="n"/>
      <c r="B1" s="2" t="inlineStr">
        <is>
          <t>Lead Leak Calculator</t>
        </is>
      </c>
    </row>
    <row r="2">
      <c r="A2" s="1" t="n"/>
      <c r="B2" s="3" t="inlineStr">
        <is>
          <t>Bonus to The Lead Leak Kit, by Hemant Kumar · askhemant.ai · @askhemant</t>
        </is>
      </c>
    </row>
    <row r="4" ht="26" customHeight="1">
      <c r="B4" s="4" t="inlineStr">
        <is>
          <t>What it does</t>
        </is>
      </c>
    </row>
    <row r="5" ht="30" customHeight="1">
      <c r="B5" s="5" t="inlineStr">
        <is>
          <t>It turns your own numbers into an estimate of how many enquiries pass through a leak each month (late reply, no follow-up, no-shows) and what those enquiries are worth at your own close rate.</t>
        </is>
      </c>
    </row>
    <row r="6">
      <c r="B6" s="6" t="inlineStr">
        <is>
          <t>Your numbers, your estimate. Not a promise, not a forecast. AskHemant supplies no ROI figures.</t>
        </is>
      </c>
    </row>
    <row r="8" ht="26" customHeight="1">
      <c r="B8" s="4" t="inlineStr">
        <is>
          <t>How to use it (5 minutes)</t>
        </is>
      </c>
    </row>
    <row r="9" ht="30" customHeight="1">
      <c r="B9" s="5" t="inlineStr">
        <is>
          <t>1. Open the "Your numbers" tab. Change only the yellow cells. The numbers already there are examples to show how it works, not benchmarks. Type percentages with the % sign (30%).</t>
        </is>
      </c>
    </row>
    <row r="10" ht="30" customHeight="1">
      <c r="B10" s="5" t="inlineStr">
        <is>
          <t>2. Not sure of a number? Count last month's enquiries in your phone, inbox and portal dashboards. For reply speed, do the 10 pm self-test (kit page 11).</t>
        </is>
      </c>
    </row>
    <row r="11" ht="30" customHeight="1">
      <c r="B11" s="5" t="inlineStr">
        <is>
          <t>3. Open "Results". Check "Revenue per month now" first. If it doesn't match your real income, fix your close rate or deal value before reading anything else.</t>
        </is>
      </c>
    </row>
    <row r="12">
      <c r="B12" s="5" t="inlineStr">
        <is>
          <t>4. The win-back lines stay empty until you type YOUR guess in yellow input 11. Start low.</t>
        </is>
      </c>
    </row>
    <row r="13">
      <c r="B13" s="5" t="inlineStr">
        <is>
          <t>5. Want a second opinion on your numbers? Book a free 20-min Fit Call at askhemant.ai/book.</t>
        </is>
      </c>
    </row>
    <row r="14" ht="26" customHeight="1">
      <c r="B14" s="4" t="inlineStr">
        <is>
          <t>Using it in Google Sheets</t>
        </is>
      </c>
    </row>
    <row r="15" ht="30" customHeight="1">
      <c r="B15" s="5" t="inlineStr">
        <is>
          <t>Make your own copy first (File &gt; Make a copy) so your numbers stay private. Everything recalculates as you type. Nothing is sent to AskHemant.</t>
        </is>
      </c>
    </row>
    <row r="16" ht="26" customHeight="1">
      <c r="B16" s="4" t="inlineStr">
        <is>
          <t>Assumptions (also on the Results tab)</t>
        </is>
      </c>
    </row>
    <row r="17">
      <c r="B17" s="5" t="inlineStr">
        <is>
          <t>"At risk" means an enquiry hit at least one leak. It does not mean it was lost.</t>
        </is>
      </c>
    </row>
    <row r="18" ht="30" customHeight="1">
      <c r="B18" s="5" t="inlineStr">
        <is>
          <t>A late reply and no follow-up are treated as independent leaks, so an enquiry hit by both is counted once.</t>
        </is>
      </c>
    </row>
    <row r="19" ht="30" customHeight="1">
      <c r="B19" s="5" t="inlineStr">
        <is>
          <t>Money at risk applies your current close rate to every enquiry. Fast-answered leads may close better or worse than that; you know your business.</t>
        </is>
      </c>
    </row>
    <row r="20">
      <c r="B20" s="5" t="inlineStr">
        <is>
          <t>All amounts are before tax, in the currency label you choose.</t>
        </is>
      </c>
    </row>
    <row r="21">
      <c r="B21" s="7" t="inlineStr">
        <is>
          <t>v1 · October 2026 · General guidance, not financial advice.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FB020"/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16" customWidth="1" min="3" max="3"/>
    <col width="62" customWidth="1" min="4" max="4"/>
  </cols>
  <sheetData>
    <row r="1" ht="36" customHeight="1">
      <c r="A1" s="1" t="n"/>
      <c r="B1" s="2" t="inlineStr">
        <is>
          <t>Your numbers</t>
        </is>
      </c>
      <c r="C1" s="1" t="n"/>
      <c r="D1" s="1" t="n"/>
    </row>
    <row r="2">
      <c r="A2" s="1" t="n"/>
      <c r="B2" s="3" t="inlineStr">
        <is>
          <t>Change the yellow cells only. Your numbers, your estimate. Not a promise.</t>
        </is>
      </c>
      <c r="C2" s="1" t="n"/>
      <c r="D2" s="1" t="n"/>
    </row>
    <row r="3">
      <c r="B3" s="8" t="inlineStr">
        <is>
          <t>The values below are EXAMPLES. Replace every one with your own.</t>
        </is>
      </c>
    </row>
    <row r="5" ht="22" customHeight="1">
      <c r="A5" s="9" t="inlineStr">
        <is>
          <t>#</t>
        </is>
      </c>
      <c r="B5" s="10" t="inlineStr">
        <is>
          <t>Your number</t>
        </is>
      </c>
      <c r="C5" s="9" t="inlineStr">
        <is>
          <t>Value</t>
        </is>
      </c>
      <c r="D5" s="10" t="inlineStr">
        <is>
          <t>How to find it</t>
        </is>
      </c>
    </row>
    <row r="6" ht="34" customHeight="1">
      <c r="A6" s="11" t="n">
        <v>1</v>
      </c>
      <c r="B6" s="12" t="inlineStr">
        <is>
          <t>Enquiries per month, all sources</t>
        </is>
      </c>
      <c r="C6" s="13" t="n">
        <v>120</v>
      </c>
      <c r="D6" s="14" t="inlineStr">
        <is>
          <t>Count last month: portal alerts, Meta leads, Instagram DMs, WhatsApp chats, calls.</t>
        </is>
      </c>
    </row>
    <row r="7" ht="34" customHeight="1">
      <c r="A7" s="11" t="n">
        <v>2</v>
      </c>
      <c r="B7" s="12" t="inlineStr">
        <is>
          <t>Share that arrive after hours (e.g. after 8 pm, before 9 am, Sundays)</t>
        </is>
      </c>
      <c r="C7" s="15" t="n">
        <v>0.3</v>
      </c>
      <c r="D7" s="14" t="inlineStr">
        <is>
          <t>Check the timestamps on last month's enquiries.</t>
        </is>
      </c>
    </row>
    <row r="8" ht="34" customHeight="1">
      <c r="A8" s="11" t="n">
        <v>3</v>
      </c>
      <c r="B8" s="12" t="inlineStr">
        <is>
          <t>Of those after-hours enquiries: share first answered next day or later</t>
        </is>
      </c>
      <c r="C8" s="15" t="n">
        <v>0.8</v>
      </c>
      <c r="D8" s="14" t="inlineStr">
        <is>
          <t>Your 10 pm self-test (kit page 11) is a good first measure.</t>
        </is>
      </c>
    </row>
    <row r="9" ht="34" customHeight="1">
      <c r="A9" s="11" t="n">
        <v>4</v>
      </c>
      <c r="B9" s="12" t="inlineStr">
        <is>
          <t>Of daytime enquiries: share first answered after more than 1 hour</t>
        </is>
      </c>
      <c r="C9" s="15" t="n">
        <v>0.3</v>
      </c>
      <c r="D9" s="14" t="inlineStr">
        <is>
          <t>Think of site-visit days, drives and meetings.</t>
        </is>
      </c>
    </row>
    <row r="10" ht="34" customHeight="1">
      <c r="A10" s="11" t="n">
        <v>5</v>
      </c>
      <c r="B10" s="12" t="inlineStr">
        <is>
          <t>Share of enquiries never followed up after day 2</t>
        </is>
      </c>
      <c r="C10" s="15" t="n">
        <v>0.5</v>
      </c>
      <c r="D10" s="14" t="inlineStr">
        <is>
          <t>Scroll your WhatsApp: how many chats stop after one call?</t>
        </is>
      </c>
    </row>
    <row r="11" ht="34" customHeight="1">
      <c r="A11" s="11" t="n">
        <v>6</v>
      </c>
      <c r="B11" s="12" t="inlineStr">
        <is>
          <t>Share of enquiries that book a site visit (or appointment)</t>
        </is>
      </c>
      <c r="C11" s="15" t="n">
        <v>0.1</v>
      </c>
      <c r="D11" s="14" t="inlineStr">
        <is>
          <t>Visits booked last month / enquiries last month.</t>
        </is>
      </c>
    </row>
    <row r="12" ht="34" customHeight="1">
      <c r="A12" s="11" t="n">
        <v>7</v>
      </c>
      <c r="B12" s="12" t="inlineStr">
        <is>
          <t>Share of booked visits that don't show up</t>
        </is>
      </c>
      <c r="C12" s="15" t="n">
        <v>0.2</v>
      </c>
      <c r="D12" s="14" t="inlineStr">
        <is>
          <t>No-shows / visits booked.</t>
        </is>
      </c>
    </row>
    <row r="13" ht="34" customHeight="1">
      <c r="A13" s="11" t="n">
        <v>8</v>
      </c>
      <c r="B13" s="12" t="inlineStr">
        <is>
          <t>Current close rate: share of enquiries that become a deal</t>
        </is>
      </c>
      <c r="C13" s="15" t="n">
        <v>0.02</v>
      </c>
      <c r="D13" s="14" t="inlineStr">
        <is>
          <t>Deals closed in the last 6 months / enquiries in the same 6 months.</t>
        </is>
      </c>
    </row>
    <row r="14" ht="34" customHeight="1">
      <c r="A14" s="11" t="n">
        <v>9</v>
      </c>
      <c r="B14" s="12" t="inlineStr">
        <is>
          <t>Average deal value, or your commission per deal</t>
        </is>
      </c>
      <c r="C14" s="13" t="n">
        <v>150000</v>
      </c>
      <c r="D14" s="14" t="inlineStr">
        <is>
          <t>Brokers: use your commission, not the property price.</t>
        </is>
      </c>
    </row>
    <row r="15" ht="34" customHeight="1">
      <c r="A15" s="11" t="n">
        <v>10</v>
      </c>
      <c r="B15" s="12" t="inlineStr">
        <is>
          <t>Hours lost per no-show (travel + waiting)</t>
        </is>
      </c>
      <c r="C15" s="16" t="n">
        <v>2</v>
      </c>
      <c r="D15" s="14" t="inlineStr">
        <is>
          <t>Your time, round trip.</t>
        </is>
      </c>
    </row>
    <row r="16" ht="34" customHeight="1">
      <c r="A16" s="11" t="n">
        <v>11</v>
      </c>
      <c r="B16" s="17" t="inlineStr">
        <is>
          <t>YOUR GUESS: share of at-risk deals you could win back with faster, steadier follow-up</t>
        </is>
      </c>
      <c r="C16" s="15" t="n"/>
      <c r="D16" s="14" t="inlineStr">
        <is>
          <t>Left blank on purpose. Only you can guess this; start low. Nobody can promise it.</t>
        </is>
      </c>
    </row>
    <row r="17" ht="34" customHeight="1">
      <c r="A17" s="11" t="n">
        <v>12</v>
      </c>
      <c r="B17" s="12" t="inlineStr">
        <is>
          <t>Optional: one-off cost of a fix you're considering</t>
        </is>
      </c>
      <c r="C17" s="13" t="n"/>
      <c r="D17" s="14" t="inlineStr">
        <is>
          <t>Leave blank if none. Used only for the break-even lines.</t>
        </is>
      </c>
    </row>
    <row r="18" ht="34" customHeight="1">
      <c r="A18" s="11" t="n">
        <v>13</v>
      </c>
      <c r="B18" s="12" t="inlineStr">
        <is>
          <t>Currency label</t>
        </is>
      </c>
      <c r="C18" s="18" t="inlineStr">
        <is>
          <t>₹</t>
        </is>
      </c>
      <c r="D18" s="14" t="inlineStr">
        <is>
          <t>Type $ or AED if you prefer. It only changes the labels.</t>
        </is>
      </c>
    </row>
    <row r="20">
      <c r="B20" s="19" t="inlineStr">
        <is>
          <t>Next: open the Results tab.</t>
        </is>
      </c>
    </row>
  </sheetData>
  <dataValidations count="2">
    <dataValidation sqref="C7 C8 C9 C10 C11 C12 C13 C16" showDropDown="0" showInputMessage="0" showErrorMessage="1" allowBlank="1" errorTitle="Percentage" error="Enter a percentage between 0% and 100%." type="decimal" operator="between">
      <formula1>0</formula1>
      <formula2>1</formula2>
    </dataValidation>
    <dataValidation sqref="C6 C14 C15 C17" showDropDown="0" showInputMessage="0" showErrorMessage="1" allowBlank="1" errorTitle="Number" error="Enter a number of 0 or more." type="decimal" operator="greaterThanOrEqual">
      <formula1>0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4338CA"/>
    <outlinePr summaryBelow="1" summaryRight="1"/>
    <pageSetUpPr fitToPage="1"/>
  </sheetPr>
  <dimension ref="A1:E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8" customWidth="1" min="2" max="2"/>
    <col width="20" customWidth="1" min="3" max="3"/>
    <col width="9" customWidth="1" min="4" max="4"/>
    <col width="64" customWidth="1" min="5" max="5"/>
  </cols>
  <sheetData>
    <row r="1" ht="36" customHeight="1">
      <c r="A1" s="1" t="n"/>
      <c r="B1" s="2" t="inlineStr">
        <is>
          <t>Results</t>
        </is>
      </c>
      <c r="C1" s="1" t="n"/>
      <c r="D1" s="1" t="n"/>
      <c r="E1" s="1" t="n"/>
    </row>
    <row r="2">
      <c r="A2" s="1" t="n"/>
      <c r="B2" s="3" t="inlineStr">
        <is>
          <t>Your numbers, your estimate. Not a promise.</t>
        </is>
      </c>
      <c r="C2" s="1" t="n"/>
      <c r="D2" s="1" t="n"/>
      <c r="E2" s="1" t="n"/>
    </row>
    <row r="3">
      <c r="B3" s="8">
        <f>IF(AND('Your numbers'!$C$6=120,'Your numbers'!$C$7=0.3,'Your numbers'!$C$8=0.8,'Your numbers'!$C$9=0.3,'Your numbers'!$C$10=0.5,'Your numbers'!$C$11=0.1,'Your numbers'!$C$12=0.2,'Your numbers'!$C$13=0.02,'Your numbers'!$C$14=150000),"These are still the EXAMPLE numbers. Change the yellow cells on Your numbers.","Based on your numbers.")</f>
        <v/>
      </c>
    </row>
    <row r="6" ht="24" customHeight="1">
      <c r="B6" s="20" t="inlineStr">
        <is>
          <t>A. Where your enquiries leak (per month)</t>
        </is>
      </c>
      <c r="C6" s="21" t="n"/>
      <c r="D6" s="21" t="n"/>
      <c r="E6" s="22" t="inlineStr">
        <is>
          <t>How it's calculated (numbers = inputs on Your numbers)</t>
        </is>
      </c>
    </row>
    <row r="7" ht="22" customHeight="1">
      <c r="B7" s="12" t="inlineStr">
        <is>
          <t>Enquiries per month</t>
        </is>
      </c>
      <c r="C7" s="23">
        <f>'Your numbers'!$C$6</f>
        <v/>
      </c>
      <c r="D7" s="11" t="inlineStr"/>
      <c r="E7" s="14" t="inlineStr">
        <is>
          <t>Input 1</t>
        </is>
      </c>
    </row>
    <row r="8" ht="22" customHeight="1">
      <c r="B8" s="12" t="inlineStr">
        <is>
          <t>After-hours enquiries</t>
        </is>
      </c>
      <c r="C8" s="24">
        <f>'Your numbers'!$C$6*'Your numbers'!$C$7</f>
        <v/>
      </c>
      <c r="D8" s="11" t="inlineStr"/>
      <c r="E8" s="14" t="inlineStr">
        <is>
          <t>1 × 2</t>
        </is>
      </c>
    </row>
    <row r="9" ht="22" customHeight="1">
      <c r="B9" s="12" t="inlineStr">
        <is>
          <t>…first answered next day or later</t>
        </is>
      </c>
      <c r="C9" s="24">
        <f>'Your numbers'!$C$6*'Your numbers'!$C$7*'Your numbers'!$C$8</f>
        <v/>
      </c>
      <c r="D9" s="11" t="inlineStr"/>
      <c r="E9" s="14" t="inlineStr">
        <is>
          <t>1 × 2 × 3</t>
        </is>
      </c>
    </row>
    <row r="10" ht="22" customHeight="1">
      <c r="B10" s="12" t="inlineStr">
        <is>
          <t>Daytime enquiries answered after more than 1 hour</t>
        </is>
      </c>
      <c r="C10" s="24">
        <f>'Your numbers'!$C$6*(1-'Your numbers'!$C$7)*'Your numbers'!$C$9</f>
        <v/>
      </c>
      <c r="D10" s="11" t="inlineStr"/>
      <c r="E10" s="14" t="inlineStr">
        <is>
          <t>1 × (100% − 2) × 4</t>
        </is>
      </c>
    </row>
    <row r="11" ht="22" customHeight="1">
      <c r="B11" s="17" t="inlineStr">
        <is>
          <t>Total enquiries answered late</t>
        </is>
      </c>
      <c r="C11" s="25">
        <f>C9+C10</f>
        <v/>
      </c>
      <c r="D11" s="11" t="inlineStr"/>
      <c r="E11" s="14" t="inlineStr">
        <is>
          <t>The two lines above</t>
        </is>
      </c>
    </row>
    <row r="12" ht="22" customHeight="1">
      <c r="B12" s="12" t="inlineStr">
        <is>
          <t>Share answered late</t>
        </is>
      </c>
      <c r="C12" s="26">
        <f>IFERROR(C11/C7,0)</f>
        <v/>
      </c>
      <c r="D12" s="11" t="inlineStr"/>
      <c r="E12" s="14" t="inlineStr">
        <is>
          <t>Late ÷ all enquiries</t>
        </is>
      </c>
    </row>
    <row r="13" ht="22" customHeight="1">
      <c r="B13" s="12" t="inlineStr">
        <is>
          <t>Never followed up after day 2</t>
        </is>
      </c>
      <c r="C13" s="24">
        <f>'Your numbers'!$C$6*'Your numbers'!$C$10</f>
        <v/>
      </c>
      <c r="D13" s="11" t="inlineStr"/>
      <c r="E13" s="14" t="inlineStr">
        <is>
          <t>1 × 5</t>
        </is>
      </c>
    </row>
    <row r="14" ht="30" customHeight="1">
      <c r="B14" s="17" t="inlineStr">
        <is>
          <t>Enquiries at risk (late reply, no follow-up, or both)</t>
        </is>
      </c>
      <c r="C14" s="27">
        <f>'Your numbers'!$C$6*(1-(1-C12)*(1-'Your numbers'!$C$10))</f>
        <v/>
      </c>
      <c r="D14" s="11" t="inlineStr"/>
      <c r="E14" s="14" t="inlineStr">
        <is>
          <t>1 × [100% − (100% − late share) × (100% − 5)]. Counted once if hit by both.</t>
        </is>
      </c>
    </row>
    <row r="15" ht="22" customHeight="1">
      <c r="B15" s="12" t="inlineStr">
        <is>
          <t>Booked visits that don't show up</t>
        </is>
      </c>
      <c r="C15" s="24">
        <f>'Your numbers'!$C$6*'Your numbers'!$C$11*'Your numbers'!$C$12</f>
        <v/>
      </c>
      <c r="D15" s="11" t="inlineStr"/>
      <c r="E15" s="14" t="inlineStr">
        <is>
          <t>1 × 6 × 7</t>
        </is>
      </c>
    </row>
    <row r="16" ht="22" customHeight="1">
      <c r="B16" s="12" t="inlineStr">
        <is>
          <t>Hours lost to no-shows</t>
        </is>
      </c>
      <c r="C16" s="24">
        <f>C15*'Your numbers'!$C$15</f>
        <v/>
      </c>
      <c r="D16" s="11" t="inlineStr">
        <is>
          <t>hrs</t>
        </is>
      </c>
      <c r="E16" s="14" t="inlineStr">
        <is>
          <t>No-shows × 10</t>
        </is>
      </c>
    </row>
    <row r="18" ht="24" customHeight="1">
      <c r="B18" s="20" t="inlineStr">
        <is>
          <t>B. What that's worth, at your own close rate</t>
        </is>
      </c>
      <c r="C18" s="21" t="n"/>
      <c r="D18" s="21" t="n"/>
      <c r="E18" s="22" t="inlineStr">
        <is>
          <t>How it's calculated (numbers = inputs on Your numbers)</t>
        </is>
      </c>
    </row>
    <row r="19" ht="22" customHeight="1">
      <c r="B19" s="12" t="inlineStr">
        <is>
          <t>Deals per month now</t>
        </is>
      </c>
      <c r="C19" s="28">
        <f>'Your numbers'!$C$6*'Your numbers'!$C$13</f>
        <v/>
      </c>
      <c r="D19" s="11" t="inlineStr"/>
      <c r="E19" s="14" t="inlineStr">
        <is>
          <t>1 × 8</t>
        </is>
      </c>
    </row>
    <row r="20" ht="30" customHeight="1">
      <c r="B20" s="17" t="inlineStr">
        <is>
          <t>Revenue per month now (check: does this match reality?)</t>
        </is>
      </c>
      <c r="C20" s="29">
        <f>C19*'Your numbers'!$C$14</f>
        <v/>
      </c>
      <c r="D20" s="11">
        <f>'Your numbers'!$C$18</f>
        <v/>
      </c>
      <c r="E20" s="14" t="inlineStr">
        <is>
          <t>Deals × 9. If this is far from your real income, adjust 8 or 9 first.</t>
        </is>
      </c>
    </row>
    <row r="21" ht="22" customHeight="1">
      <c r="B21" s="12" t="inlineStr">
        <is>
          <t>Deals that pass through a leak each month</t>
        </is>
      </c>
      <c r="C21" s="28">
        <f>C14*'Your numbers'!$C$13</f>
        <v/>
      </c>
      <c r="D21" s="11" t="inlineStr"/>
      <c r="E21" s="14" t="inlineStr">
        <is>
          <t>At-risk enquiries × 8</t>
        </is>
      </c>
    </row>
    <row r="22" ht="22" customHeight="1">
      <c r="B22" s="17" t="inlineStr">
        <is>
          <t>Revenue at risk per month</t>
        </is>
      </c>
      <c r="C22" s="30">
        <f>C21*'Your numbers'!$C$14</f>
        <v/>
      </c>
      <c r="D22" s="11">
        <f>'Your numbers'!$C$18</f>
        <v/>
      </c>
      <c r="E22" s="14" t="inlineStr">
        <is>
          <t>Deals through a leak × 9</t>
        </is>
      </c>
    </row>
    <row r="23" ht="22" customHeight="1">
      <c r="B23" s="17" t="inlineStr">
        <is>
          <t>Revenue at risk per year</t>
        </is>
      </c>
      <c r="C23" s="30">
        <f>C22*12</f>
        <v/>
      </c>
      <c r="D23" s="11">
        <f>'Your numbers'!$C$18</f>
        <v/>
      </c>
      <c r="E23" s="14" t="inlineStr">
        <is>
          <t>× 12</t>
        </is>
      </c>
    </row>
    <row r="25" ht="24" customHeight="1">
      <c r="B25" s="20" t="inlineStr">
        <is>
          <t>C. Your what-if (uses YOUR guess, input 11)</t>
        </is>
      </c>
      <c r="C25" s="21" t="n"/>
      <c r="D25" s="21" t="n"/>
      <c r="E25" s="22" t="inlineStr">
        <is>
          <t>How it's calculated (numbers = inputs on Your numbers)</t>
        </is>
      </c>
    </row>
    <row r="26" ht="22" customHeight="1">
      <c r="B26" s="12" t="inlineStr">
        <is>
          <t>Deals won back per month, if your guess holds</t>
        </is>
      </c>
      <c r="C26" s="28">
        <f>IF('Your numbers'!$C$16="","Enter input 11 first",C21*'Your numbers'!$C$16)</f>
        <v/>
      </c>
      <c r="D26" s="11" t="inlineStr"/>
      <c r="E26" s="14" t="inlineStr">
        <is>
          <t>Deals through a leak × 11</t>
        </is>
      </c>
    </row>
    <row r="27" ht="22" customHeight="1">
      <c r="B27" s="17" t="inlineStr">
        <is>
          <t>Revenue won back per month, if your guess holds</t>
        </is>
      </c>
      <c r="C27" s="29">
        <f>IF('Your numbers'!$C$16="","—",C26*'Your numbers'!$C$14)</f>
        <v/>
      </c>
      <c r="D27" s="11">
        <f>'Your numbers'!$C$18</f>
        <v/>
      </c>
      <c r="E27" s="14" t="inlineStr">
        <is>
          <t>Deals won back × 9</t>
        </is>
      </c>
    </row>
    <row r="28" ht="22" customHeight="1">
      <c r="B28" s="17" t="inlineStr">
        <is>
          <t>Revenue won back per year, if your guess holds</t>
        </is>
      </c>
      <c r="C28" s="29">
        <f>IF('Your numbers'!$C$16="","—",C27*12)</f>
        <v/>
      </c>
      <c r="D28" s="11">
        <f>'Your numbers'!$C$18</f>
        <v/>
      </c>
      <c r="E28" s="14" t="inlineStr">
        <is>
          <t>× 12</t>
        </is>
      </c>
    </row>
    <row r="29" ht="22" customHeight="1">
      <c r="B29" s="12" t="inlineStr">
        <is>
          <t>Extra deals that would cover the fix cost</t>
        </is>
      </c>
      <c r="C29" s="28">
        <f>IF(OR('Your numbers'!$C$17="",'Your numbers'!$C$14=0),"—",'Your numbers'!$C$17/'Your numbers'!$C$14)</f>
        <v/>
      </c>
      <c r="D29" s="11" t="inlineStr"/>
      <c r="E29" s="14" t="inlineStr">
        <is>
          <t>12 ÷ 9 (break-even, no guess needed)</t>
        </is>
      </c>
    </row>
    <row r="30" ht="22" customHeight="1">
      <c r="B30" s="12" t="inlineStr">
        <is>
          <t>Months to cover the fix cost, if your guess holds</t>
        </is>
      </c>
      <c r="C30" s="24">
        <f>IF(OR('Your numbers'!$C$17="",'Your numbers'!$C$16="",'Your numbers'!$C$16=0,'Your numbers'!$C$13=0,'Your numbers'!$C$14=0,'Your numbers'!$C$6=0),"—",'Your numbers'!$C$17/C27)</f>
        <v/>
      </c>
      <c r="D30" s="11" t="inlineStr">
        <is>
          <t>months</t>
        </is>
      </c>
      <c r="E30" s="14" t="inlineStr">
        <is>
          <t>12 ÷ monthly revenue won back</t>
        </is>
      </c>
    </row>
    <row r="32">
      <c r="B32" s="20" t="inlineStr">
        <is>
          <t>Assumptions, in plain words</t>
        </is>
      </c>
      <c r="C32" s="21" t="n"/>
      <c r="D32" s="21" t="n"/>
      <c r="E32" s="21" t="n"/>
    </row>
    <row r="33" ht="30" customHeight="1">
      <c r="B33" s="5" t="inlineStr">
        <is>
          <t>1. "At risk" means an enquiry hit at least one leak. It does not mean it was lost.</t>
        </is>
      </c>
    </row>
    <row r="34" ht="30" customHeight="1">
      <c r="B34" s="5" t="inlineStr">
        <is>
          <t>2. A late reply and no follow-up are treated as independent, so an enquiry hit by both is counted once.</t>
        </is>
      </c>
    </row>
    <row r="35" ht="30" customHeight="1">
      <c r="B35" s="5" t="inlineStr">
        <is>
          <t>3. Money at risk uses your current close rate for every enquiry. Fast-answered leads may close better or worse.</t>
        </is>
      </c>
    </row>
    <row r="36" ht="30" customHeight="1">
      <c r="B36" s="5" t="inlineStr">
        <is>
          <t>4. The win-back lines use only your own guess (input 11). AskHemant supplies no ROI figure, and nothing here is a promise or forecast.</t>
        </is>
      </c>
    </row>
    <row r="37" ht="30" customHeight="1">
      <c r="B37" s="5" t="inlineStr">
        <is>
          <t>5. No-shows are shown as a count and hours; they are not added to the money lines, to avoid counting the same lead twice.</t>
        </is>
      </c>
    </row>
    <row r="38" ht="30" customHeight="1">
      <c r="B38" s="5" t="inlineStr">
        <is>
          <t>6. All amounts are before tax, in the currency label you chose (input 13).</t>
        </is>
      </c>
    </row>
    <row r="40">
      <c r="B40" s="19" t="inlineStr">
        <is>
          <t>Want a second opinion on these numbers? Free 20-min Fit Call: askhemant.ai/book</t>
        </is>
      </c>
    </row>
  </sheetData>
  <mergeCells count="6">
    <mergeCell ref="B35:E35"/>
    <mergeCell ref="B38:E38"/>
    <mergeCell ref="B33:E33"/>
    <mergeCell ref="B37:E37"/>
    <mergeCell ref="B36:E36"/>
    <mergeCell ref="B34:E3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AskHemant (askhemant.ai)</dc:creator>
  <dc:title xmlns:dc="http://purl.org/dc/elements/1.1/">Lead Leak Calculator</dc:title>
  <dcterms:created xmlns:dcterms="http://purl.org/dc/terms/" xmlns:xsi="http://www.w3.org/2001/XMLSchema-instance" xsi:type="dcterms:W3CDTF">2026-10-18T13:20:53Z</dcterms:created>
  <dcterms:modified xmlns:dcterms="http://purl.org/dc/terms/" xmlns:xsi="http://www.w3.org/2001/XMLSchema-instance" xsi:type="dcterms:W3CDTF">2026-10-18T13:20:53Z</dcterms:modified>
</cp:coreProperties>
</file>